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145" documentId="11_92485C45C1F39E42E268565A893E8C18510380CC" xr6:coauthVersionLast="47" xr6:coauthVersionMax="47" xr10:uidLastSave="{7C4368AE-5746-4F36-9469-B466760A8E61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preco_unid">Tabela1[preco_unid]</definedName>
    <definedName name="quantidade">Tabela1[quantidade]</definedName>
    <definedName name="total_despesa">Tabela1[total_despesa]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A13" i="1"/>
  <c r="B10" i="1"/>
  <c r="C10" i="1"/>
  <c r="D9" i="1"/>
  <c r="D8" i="1"/>
  <c r="D7" i="1"/>
  <c r="D6" i="1"/>
  <c r="D5" i="1"/>
  <c r="D4" i="1"/>
  <c r="D2" i="1"/>
  <c r="D3" i="1"/>
  <c r="D10" i="1" s="1"/>
</calcChain>
</file>

<file path=xl/sharedStrings.xml><?xml version="1.0" encoding="utf-8"?>
<sst xmlns="http://schemas.openxmlformats.org/spreadsheetml/2006/main" count="16" uniqueCount="16">
  <si>
    <t>nome_depesa</t>
  </si>
  <si>
    <t>quantidade</t>
  </si>
  <si>
    <t>preco_unid</t>
  </si>
  <si>
    <t>total_despesa</t>
  </si>
  <si>
    <t>refri_limao</t>
  </si>
  <si>
    <t>vodka</t>
  </si>
  <si>
    <t>xarope</t>
  </si>
  <si>
    <t>corote</t>
  </si>
  <si>
    <t>suco_po</t>
  </si>
  <si>
    <t>musica_iluminacao</t>
  </si>
  <si>
    <t>chacara</t>
  </si>
  <si>
    <t>gelo</t>
  </si>
  <si>
    <t>total</t>
  </si>
  <si>
    <t>custo_festa</t>
  </si>
  <si>
    <t>estimativa_ingressos</t>
  </si>
  <si>
    <t>preco_custo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</si>
</sst>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6" xfId="0" applyFill="1" applyBorder="1"/>
    <xf numFmtId="0" fontId="0" fillId="2" borderId="3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0" borderId="3" xfId="0" applyBorder="1"/>
    <xf numFmtId="0" fontId="0" fillId="0" borderId="9" xfId="0" applyBorder="1"/>
  </cellXfs>
  <cellStyles count="1">
    <cellStyle name="Normal" xfId="0" builtinId="0"/>
  </cellStyles>
  <dxfs count="15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right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righ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righ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92CF2-4A9A-48E8-981B-E1A9D2D8772B}" name="Tabela1" displayName="Tabela1" ref="A1:D10" totalsRowShown="0" headerRowDxfId="14" headerRowBorderDxfId="12" tableBorderDxfId="13" totalsRowBorderDxfId="11">
  <autoFilter ref="A1:D10" xr:uid="{68692CF2-4A9A-48E8-981B-E1A9D2D8772B}"/>
  <tableColumns count="4">
    <tableColumn id="1" xr3:uid="{FD1D0AEC-926C-42C6-A00B-FBF614FC0D14}" name="nome_depesa" dataDxfId="10"/>
    <tableColumn id="2" xr3:uid="{A6DC9007-7C75-462C-A27B-59AE0CE57B3C}" name="quantidade" dataDxfId="9"/>
    <tableColumn id="3" xr3:uid="{88A2CEAB-19B3-4847-899F-FED83FE45924}" name="preco_unid" dataDxfId="8"/>
    <tableColumn id="4" xr3:uid="{362DD9F5-3CC1-4C0B-8871-F3E537C2E507}" name="total_despesa" data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AE7B56-1310-4DB5-B060-454579A290DB}" name="Tabela2" displayName="Tabela2" ref="A12:C13" totalsRowShown="0" headerRowDxfId="6" headerRowBorderDxfId="4" tableBorderDxfId="5" totalsRowBorderDxfId="3">
  <autoFilter ref="A12:C13" xr:uid="{5DAE7B56-1310-4DB5-B060-454579A290DB}"/>
  <tableColumns count="3">
    <tableColumn id="1" xr3:uid="{FF1212CA-D516-4B42-8534-5B9A12A97179}" name="custo_festa" dataDxfId="2">
      <calculatedColumnFormula>D10</calculatedColumnFormula>
    </tableColumn>
    <tableColumn id="2" xr3:uid="{A06991B2-E8FE-47F1-ABDD-CE0C479F3146}" name="estimativa_ingressos" dataDxfId="1"/>
    <tableColumn id="3" xr3:uid="{70C204C3-2750-4BBD-A53C-C39249E45ED2}" name="preco_custo" dataDxfId="0">
      <calculatedColumnFormula>A13 / B13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8" sqref="B18"/>
    </sheetView>
  </sheetViews>
  <sheetFormatPr defaultRowHeight="15"/>
  <cols>
    <col min="1" max="1" width="17.5703125" bestFit="1" customWidth="1"/>
    <col min="2" max="2" width="21.85546875" bestFit="1" customWidth="1"/>
    <col min="3" max="3" width="14" bestFit="1" customWidth="1"/>
    <col min="4" max="4" width="15.7109375" bestFit="1" customWidth="1"/>
    <col min="5" max="5" width="16" bestFit="1" customWidth="1"/>
  </cols>
  <sheetData>
    <row r="1" spans="1:4">
      <c r="A1" s="3" t="s">
        <v>0</v>
      </c>
      <c r="B1" s="2" t="s">
        <v>1</v>
      </c>
      <c r="C1" s="2" t="s">
        <v>2</v>
      </c>
      <c r="D1" s="6" t="s">
        <v>3</v>
      </c>
    </row>
    <row r="2" spans="1:4">
      <c r="A2" s="4" t="s">
        <v>4</v>
      </c>
      <c r="B2" s="1">
        <v>42</v>
      </c>
      <c r="C2" s="1">
        <v>7.79</v>
      </c>
      <c r="D2" s="7">
        <f>B2*C2</f>
        <v>327.18</v>
      </c>
    </row>
    <row r="3" spans="1:4">
      <c r="A3" s="4" t="s">
        <v>5</v>
      </c>
      <c r="B3" s="1">
        <v>30</v>
      </c>
      <c r="C3" s="1">
        <v>10.326000000000001</v>
      </c>
      <c r="D3" s="7">
        <f>B3*C3</f>
        <v>309.78000000000003</v>
      </c>
    </row>
    <row r="4" spans="1:4">
      <c r="A4" s="4" t="s">
        <v>6</v>
      </c>
      <c r="B4" s="1">
        <v>5</v>
      </c>
      <c r="C4" s="1">
        <v>24.99</v>
      </c>
      <c r="D4" s="7">
        <f>B4 * C4</f>
        <v>124.94999999999999</v>
      </c>
    </row>
    <row r="5" spans="1:4">
      <c r="A5" s="4" t="s">
        <v>7</v>
      </c>
      <c r="B5" s="1">
        <v>72</v>
      </c>
      <c r="C5" s="1">
        <v>3.2361</v>
      </c>
      <c r="D5" s="7">
        <f>B5 * C5</f>
        <v>232.9992</v>
      </c>
    </row>
    <row r="6" spans="1:4">
      <c r="A6" s="4" t="s">
        <v>8</v>
      </c>
      <c r="B6" s="1">
        <v>15</v>
      </c>
      <c r="C6" s="1">
        <v>1.26</v>
      </c>
      <c r="D6" s="7">
        <f>B6 * C6</f>
        <v>18.899999999999999</v>
      </c>
    </row>
    <row r="7" spans="1:4">
      <c r="A7" s="4" t="s">
        <v>9</v>
      </c>
      <c r="B7" s="1">
        <v>1</v>
      </c>
      <c r="C7" s="1">
        <v>380</v>
      </c>
      <c r="D7" s="7">
        <f>B7 * C7</f>
        <v>380</v>
      </c>
    </row>
    <row r="8" spans="1:4">
      <c r="A8" s="4" t="s">
        <v>10</v>
      </c>
      <c r="B8" s="1">
        <v>1</v>
      </c>
      <c r="C8" s="1">
        <v>400</v>
      </c>
      <c r="D8" s="7">
        <f>B8 * C8</f>
        <v>400</v>
      </c>
    </row>
    <row r="9" spans="1:4">
      <c r="A9" s="5" t="s">
        <v>11</v>
      </c>
      <c r="B9" s="8">
        <v>4</v>
      </c>
      <c r="C9" s="8">
        <v>22</v>
      </c>
      <c r="D9" s="9">
        <f>B9 * C9</f>
        <v>88</v>
      </c>
    </row>
    <row r="10" spans="1:4">
      <c r="A10" s="10" t="s">
        <v>12</v>
      </c>
      <c r="B10" s="11">
        <f>SUM(B2,B3,B4,B5,B6,B7,B8,B9)</f>
        <v>170</v>
      </c>
      <c r="C10" s="11">
        <f>SUM(C2,C3,C4,C5,C6,C7,C8,C9)</f>
        <v>849.60210000000006</v>
      </c>
      <c r="D10" s="12">
        <f>SUM(D2,D3,D4,D5,D6,D7,D8,D9)</f>
        <v>1881.8092000000001</v>
      </c>
    </row>
    <row r="12" spans="1:4">
      <c r="A12" s="3" t="s">
        <v>13</v>
      </c>
      <c r="B12" s="2" t="s">
        <v>14</v>
      </c>
      <c r="C12" s="6" t="s">
        <v>15</v>
      </c>
    </row>
    <row r="13" spans="1:4">
      <c r="A13" s="5">
        <f>D10</f>
        <v>1881.8092000000001</v>
      </c>
      <c r="B13" s="13">
        <v>80</v>
      </c>
      <c r="C13" s="14">
        <f>A13 / B13</f>
        <v>23.522615000000002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Canalli</cp:lastModifiedBy>
  <cp:revision/>
  <dcterms:created xsi:type="dcterms:W3CDTF">2026-03-02T16:46:18Z</dcterms:created>
  <dcterms:modified xsi:type="dcterms:W3CDTF">2026-03-09T23:32:49Z</dcterms:modified>
  <cp:category/>
  <cp:contentStatus/>
</cp:coreProperties>
</file>